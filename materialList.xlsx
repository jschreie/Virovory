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2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eremyschreier/Desktop/Virovory/"/>
    </mc:Choice>
  </mc:AlternateContent>
  <xr:revisionPtr revIDLastSave="0" documentId="13_ncr:1_{894E7DE0-ACC1-314A-B713-F1B9158FB3E4}" xr6:coauthVersionLast="47" xr6:coauthVersionMax="47" xr10:uidLastSave="{00000000-0000-0000-0000-000000000000}"/>
  <bookViews>
    <workbookView xWindow="160" yWindow="600" windowWidth="19440" windowHeight="26520" activeTab="1" xr2:uid="{07294BF3-7D2F-FC4B-A894-E8C433C58022}"/>
  </bookViews>
  <sheets>
    <sheet name="Sheet1" sheetId="1" r:id="rId1"/>
    <sheet name="Updated" sheetId="2" r:id="rId2"/>
    <sheet name="Sheet2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2" i="3" l="1"/>
  <c r="D11" i="3"/>
  <c r="D10" i="3"/>
  <c r="D9" i="3"/>
  <c r="D8" i="3"/>
  <c r="D7" i="3"/>
  <c r="D6" i="3"/>
  <c r="D5" i="3"/>
  <c r="D4" i="3"/>
  <c r="D3" i="3"/>
  <c r="C12" i="3"/>
  <c r="C11" i="3"/>
  <c r="C10" i="3"/>
  <c r="C9" i="3"/>
  <c r="C8" i="3"/>
  <c r="C7" i="3"/>
  <c r="C6" i="3"/>
  <c r="C5" i="3"/>
  <c r="C4" i="3"/>
  <c r="C3" i="3"/>
</calcChain>
</file>

<file path=xl/sharedStrings.xml><?xml version="1.0" encoding="utf-8"?>
<sst xmlns="http://schemas.openxmlformats.org/spreadsheetml/2006/main" count="239" uniqueCount="167">
  <si>
    <t>Cat #</t>
  </si>
  <si>
    <t>Quantity</t>
  </si>
  <si>
    <t>Description</t>
  </si>
  <si>
    <t>Supplier</t>
  </si>
  <si>
    <t>Bacterial Culturing</t>
  </si>
  <si>
    <t>47729-583</t>
  </si>
  <si>
    <t>VWR Borosilicate glass culture tubes, 18mm x 150mm</t>
  </si>
  <si>
    <t>Avantor/VWR</t>
  </si>
  <si>
    <t>Case of 500</t>
  </si>
  <si>
    <t>Life Sciences Kimble Kim-Kap Closures, 18mm</t>
  </si>
  <si>
    <t>60825-801</t>
  </si>
  <si>
    <t>FisherScientific</t>
  </si>
  <si>
    <t>22-0290491</t>
  </si>
  <si>
    <t>Pack of 1000</t>
  </si>
  <si>
    <t>Puritan 6” wooden applicator sticks, nonsterile</t>
  </si>
  <si>
    <t>08-757-100D</t>
  </si>
  <si>
    <t>Falcon Bacteriological Petri Dishes with Lid, 100x15mm</t>
  </si>
  <si>
    <t>Eisco Meker Bunsen Burner</t>
  </si>
  <si>
    <t>S13940</t>
  </si>
  <si>
    <t>Bernzomatic camping propane gas cylinders, 16 oz</t>
  </si>
  <si>
    <t>TX916</t>
  </si>
  <si>
    <t>Bernzomatic (Can get at most hardware stores)</t>
  </si>
  <si>
    <t>Pack of 6</t>
  </si>
  <si>
    <t>Bernzomatic Classic Brass Torch</t>
  </si>
  <si>
    <t>Bernzomatic</t>
  </si>
  <si>
    <t>UL2317</t>
  </si>
  <si>
    <t>Bunsen Burner tubing</t>
  </si>
  <si>
    <t>Media</t>
  </si>
  <si>
    <t>Difco Bacto Yeast Extract</t>
  </si>
  <si>
    <t>ThermoScientific</t>
  </si>
  <si>
    <t>Difco Bacto Tryptone</t>
  </si>
  <si>
    <t>DF0140-01-0</t>
  </si>
  <si>
    <t>BD Bacto Dehydrated Agar, 454g</t>
  </si>
  <si>
    <t>DF0791-17-4</t>
  </si>
  <si>
    <t>Difco Marine Broth 2216</t>
  </si>
  <si>
    <t>CLM-436-H-0.25</t>
  </si>
  <si>
    <t>Cambridge Isotope Laboratories</t>
  </si>
  <si>
    <t>CLM-1396-5</t>
  </si>
  <si>
    <t>L-proline-13C5,15N, 99%, 250mg</t>
  </si>
  <si>
    <t>NLM-467-5</t>
  </si>
  <si>
    <t>Pack of 50</t>
  </si>
  <si>
    <t>Millex GV 0.22um syringe filters, PES(green), 33mm, Sterile</t>
  </si>
  <si>
    <t>SLGPR33RS</t>
  </si>
  <si>
    <t>Microscopy</t>
  </si>
  <si>
    <t>12-550-143</t>
  </si>
  <si>
    <t>D-glucose (U-13C6, 99%), 5g</t>
  </si>
  <si>
    <t>Ammonium chlorid 15N, 99%, 5g</t>
  </si>
  <si>
    <t>2 packs of 144</t>
  </si>
  <si>
    <t>Fisherbrand Superfrost Microscope Slides, White Tab</t>
  </si>
  <si>
    <t>48366-249</t>
  </si>
  <si>
    <t>2 packs</t>
  </si>
  <si>
    <t>VWR Coverslips, 25x25mm, No.1.5</t>
  </si>
  <si>
    <t>SVLP02500</t>
  </si>
  <si>
    <t>pack of 100</t>
  </si>
  <si>
    <t>Durapore Membrane, PVDF, Hydrophilic, 5um, 25mm, plain, white</t>
  </si>
  <si>
    <t>GTBP02500</t>
  </si>
  <si>
    <r>
      <t xml:space="preserve">Isopore Membrane, polycarbonate, Hydrophilic, 0.2um, 25mm, </t>
    </r>
    <r>
      <rPr>
        <b/>
        <sz val="12"/>
        <color theme="1"/>
        <rFont val="Aptos Narrow"/>
        <scheme val="minor"/>
      </rPr>
      <t xml:space="preserve">Black, </t>
    </r>
    <r>
      <rPr>
        <sz val="12"/>
        <color theme="1"/>
        <rFont val="Aptos Narrow"/>
        <scheme val="minor"/>
      </rPr>
      <t>plain</t>
    </r>
  </si>
  <si>
    <t>DAPI, 10mg</t>
  </si>
  <si>
    <t>D1306</t>
  </si>
  <si>
    <t>17970-100</t>
  </si>
  <si>
    <t>Citifluor/Ted Pella</t>
  </si>
  <si>
    <t>Citifluor Antifadent (AF) Solutions AF-1, glycerol-PBS solution, 100ml</t>
  </si>
  <si>
    <t>Nalgene Unwire Test Tube rack, 4x10, 20mm tubes</t>
  </si>
  <si>
    <t>14-809-52</t>
  </si>
  <si>
    <t>14-809-128</t>
  </si>
  <si>
    <t>Nalgene Unwire Half-rack, 4x5, 20mm tubes</t>
  </si>
  <si>
    <t>Notes</t>
  </si>
  <si>
    <t>Yes</t>
  </si>
  <si>
    <t>P1000 micropipette</t>
  </si>
  <si>
    <t>P200 micropipette</t>
  </si>
  <si>
    <t>P20 micropipette</t>
  </si>
  <si>
    <t>P10 micropipette</t>
  </si>
  <si>
    <t>Equipment (assuming you have most of these)</t>
  </si>
  <si>
    <t>P5000 micropipette</t>
  </si>
  <si>
    <t>Wire basket to hold propane tank or something comparable</t>
  </si>
  <si>
    <t>MilliporeSigma</t>
  </si>
  <si>
    <t>ThermoFisher</t>
  </si>
  <si>
    <t>Link</t>
  </si>
  <si>
    <t>Ammonium Chloride</t>
  </si>
  <si>
    <t>L-Proline</t>
  </si>
  <si>
    <t>Walmart</t>
  </si>
  <si>
    <t>Sigma</t>
  </si>
  <si>
    <t>A9434-500G</t>
  </si>
  <si>
    <t>https://www.sigmaaldrich.com/US/en/product/sigma/a9434</t>
  </si>
  <si>
    <t>P5607-25G</t>
  </si>
  <si>
    <t>25g</t>
  </si>
  <si>
    <t>500g</t>
  </si>
  <si>
    <t>https://www.sigmaaldrich.com/US/en/product/sigma/p5607</t>
  </si>
  <si>
    <t>4 pack</t>
  </si>
  <si>
    <t>https://www.walmart.com/ip/Coleman-All-Purpose-Propane-Gas-Cylinder-16-oz-4-Pack/47501438?classType=VARIANT&amp;athbdg=L1103&amp;from=/search</t>
  </si>
  <si>
    <t>Coleman All Purpose Propane Gas Cylinder 16 oz</t>
  </si>
  <si>
    <t>https://www.walmart.com/ip/DOMINOX-Propane-Torch-Head-Manual-Start-Solid-Brass-Brazing-Torch-Fuel-MAPP-MAP-Pro-Propane-CGA600-Cylinder-Bottle-Nozzle-Blow-Torch-Tip-Soldering-Br/5526112190?classType=REGULAR&amp;from=/search</t>
  </si>
  <si>
    <t>DOMINOX propane torch head</t>
  </si>
  <si>
    <t>Neoprene Bunsen Burner Hose, 3ft</t>
  </si>
  <si>
    <t>23A00X843</t>
  </si>
  <si>
    <t>Thomas Scientific</t>
  </si>
  <si>
    <t>https://www.thomassci.com/p/neoprene-bunsen-burner-hose-3-ft-0-9m-long?q=23A00X843</t>
  </si>
  <si>
    <t>1 pack</t>
  </si>
  <si>
    <t>https://www.walmart.com/ip/24-Piece-Dinner-Spoons-Set-6-7-inch-Unokit-Stainless-Steel-Spoons-silverware-Dessert-Spoon-Tablespoon/17929311573?classType=REGULAR&amp;from=/search</t>
  </si>
  <si>
    <t>24 piece Ruffulon Stainless steel spoons</t>
  </si>
  <si>
    <t>Fisher</t>
  </si>
  <si>
    <t>S02605</t>
  </si>
  <si>
    <t>https://www.fishersci.com/shop/products/eisco-spatula-chattway-2/S02605#?keyword=spatula</t>
  </si>
  <si>
    <t>20 cm Eisco Chattaway Lab Spatula</t>
  </si>
  <si>
    <t>NaCl</t>
  </si>
  <si>
    <t>Na2SO4</t>
  </si>
  <si>
    <t>KCl</t>
  </si>
  <si>
    <t>KBr</t>
  </si>
  <si>
    <t>H3BO3</t>
  </si>
  <si>
    <t>NaF</t>
  </si>
  <si>
    <t>NaHCO3</t>
  </si>
  <si>
    <t>MgCl2 6H2O</t>
  </si>
  <si>
    <t>CaCl2 2H2O</t>
  </si>
  <si>
    <t>SrCl2 6H2O</t>
  </si>
  <si>
    <t>NaNO3</t>
  </si>
  <si>
    <t>NaH2PO4 H2O</t>
  </si>
  <si>
    <t>VWR</t>
  </si>
  <si>
    <t>BDH9286-2.5KG</t>
  </si>
  <si>
    <t>2.5 kg</t>
  </si>
  <si>
    <t>https://www.avantorsciences.com/pr/en/product/NA2518509/sodium-chloride-990-acs-analytical-reagent-vwr-chemicals-bdh</t>
  </si>
  <si>
    <r>
      <t>Na</t>
    </r>
    <r>
      <rPr>
        <vertAlign val="subscript"/>
        <sz val="12"/>
        <color rgb="FF00000A"/>
        <rFont val="Times New Roman"/>
        <family val="1"/>
      </rPr>
      <t>2</t>
    </r>
    <r>
      <rPr>
        <sz val="12"/>
        <color rgb="FF00000A"/>
        <rFont val="Times New Roman"/>
        <family val="1"/>
      </rPr>
      <t>SO</t>
    </r>
    <r>
      <rPr>
        <vertAlign val="subscript"/>
        <sz val="12"/>
        <color rgb="FF00000A"/>
        <rFont val="Times New Roman"/>
        <family val="1"/>
      </rPr>
      <t>4</t>
    </r>
  </si>
  <si>
    <t>Kbr</t>
  </si>
  <si>
    <r>
      <t>H</t>
    </r>
    <r>
      <rPr>
        <vertAlign val="subscript"/>
        <sz val="12"/>
        <color rgb="FF00000A"/>
        <rFont val="Times New Roman"/>
        <family val="1"/>
      </rPr>
      <t>3</t>
    </r>
    <r>
      <rPr>
        <sz val="12"/>
        <color rgb="FF00000A"/>
        <rFont val="Times New Roman"/>
        <family val="1"/>
      </rPr>
      <t>BO</t>
    </r>
    <r>
      <rPr>
        <vertAlign val="subscript"/>
        <sz val="12"/>
        <color rgb="FF00000A"/>
        <rFont val="Times New Roman"/>
        <family val="1"/>
      </rPr>
      <t>3</t>
    </r>
  </si>
  <si>
    <r>
      <t>NaHCO</t>
    </r>
    <r>
      <rPr>
        <vertAlign val="subscript"/>
        <sz val="12"/>
        <color rgb="FF00000A"/>
        <rFont val="Times New Roman"/>
        <family val="1"/>
      </rPr>
      <t>3</t>
    </r>
  </si>
  <si>
    <r>
      <t>MgCl2·6H</t>
    </r>
    <r>
      <rPr>
        <vertAlign val="subscript"/>
        <sz val="12"/>
        <color rgb="FF00000A"/>
        <rFont val="Times New Roman"/>
        <family val="1"/>
      </rPr>
      <t>2</t>
    </r>
    <r>
      <rPr>
        <sz val="12"/>
        <color rgb="FF00000A"/>
        <rFont val="Times New Roman"/>
        <family val="1"/>
      </rPr>
      <t>O</t>
    </r>
  </si>
  <si>
    <r>
      <t>CaCl2·2H</t>
    </r>
    <r>
      <rPr>
        <vertAlign val="subscript"/>
        <sz val="12"/>
        <color rgb="FF00000A"/>
        <rFont val="Times New Roman"/>
        <family val="1"/>
      </rPr>
      <t>2</t>
    </r>
    <r>
      <rPr>
        <sz val="12"/>
        <color rgb="FF00000A"/>
        <rFont val="Times New Roman"/>
        <family val="1"/>
      </rPr>
      <t>O</t>
    </r>
  </si>
  <si>
    <r>
      <t>SrCl2·6H</t>
    </r>
    <r>
      <rPr>
        <vertAlign val="subscript"/>
        <sz val="12"/>
        <color rgb="FF00000A"/>
        <rFont val="Times New Roman"/>
        <family val="1"/>
      </rPr>
      <t>2</t>
    </r>
    <r>
      <rPr>
        <sz val="12"/>
        <color rgb="FF00000A"/>
        <rFont val="Times New Roman"/>
        <family val="1"/>
      </rPr>
      <t>O</t>
    </r>
  </si>
  <si>
    <t>50 L</t>
  </si>
  <si>
    <t>100L</t>
  </si>
  <si>
    <t>https://www.avantorsciences.com/us/en/product/4561204/sodium-sulfate-anhydrous-99-granules-ar-acs-acs-10---60-mesh-macron-fine-chemicals</t>
  </si>
  <si>
    <t>MK8024-04</t>
  </si>
  <si>
    <t>500 g</t>
  </si>
  <si>
    <t>42348-500</t>
  </si>
  <si>
    <t>MK5958-04</t>
  </si>
  <si>
    <t>C7902-500G</t>
  </si>
  <si>
    <t>100 g</t>
  </si>
  <si>
    <t>100 kDa Amicon</t>
  </si>
  <si>
    <t>Purpose</t>
  </si>
  <si>
    <t>Bacterial growth</t>
  </si>
  <si>
    <t>Bacterial Growth</t>
  </si>
  <si>
    <t>Benchtop aseptic technique</t>
  </si>
  <si>
    <t>Weighing chemicals</t>
  </si>
  <si>
    <t>Making ASW</t>
  </si>
  <si>
    <t>Making f/2 or L1</t>
  </si>
  <si>
    <t>Washing/concentrating phage</t>
  </si>
  <si>
    <t xml:space="preserve">AAA1633922 </t>
  </si>
  <si>
    <t>https://www.fishersci.com/shop/products/potassium-bromide-99-thermo-scientific/AAA1633922#potasium%20bromide</t>
  </si>
  <si>
    <t xml:space="preserve">AA1159530 </t>
  </si>
  <si>
    <t>250g</t>
  </si>
  <si>
    <t>https://www.fishersci.com/shop/products/potassium-chloride-acs-99-0-100-5-thermo-scientific/AA1159530#?keyword=potasium%20chloride</t>
  </si>
  <si>
    <t>https://www.fishersci.com/shop/products/boric-acid-99-6-acs-reagent-thermo-scientific/AC423485000#?keyword=42348-500</t>
  </si>
  <si>
    <t>https://www.sigmaaldrich.com/US/en/product/sigald/201154</t>
  </si>
  <si>
    <t>201154-100G</t>
  </si>
  <si>
    <t>https://www.sigmaaldrich.com/US/en/product/sigma/s5761</t>
  </si>
  <si>
    <t>https://www.avantorsciences.com/us/en/product/NA3427792/magnesium-chloride-hexahydrate-99-crystals-ar-acs-acs-macron-fine-chemicals?isCatNumSearch=true&amp;searchedCatalogNumber=MK5958-04</t>
  </si>
  <si>
    <t>https://www.sigmaaldrich.com/US/en/product/sigma/c7902</t>
  </si>
  <si>
    <t xml:space="preserve">AA3339322 </t>
  </si>
  <si>
    <t>https://www.fishersci.com/shop/products/strontium-chloride-hexahydrate-acs-99-0-103-0-thermo-scientific/AA3339322#?keyword=33393</t>
  </si>
  <si>
    <t>BDH4574-500G</t>
  </si>
  <si>
    <t>https://www.avantorsciences.com/us/en/product/17598803/sodium-nitrate-990-crystallised-acs-vwr-chemicals-bdh</t>
  </si>
  <si>
    <t>100g</t>
  </si>
  <si>
    <t xml:space="preserve">01-337-702 </t>
  </si>
  <si>
    <t>https://www.fishersci.com/shop/products/sodium-phosphate-monobasic-monohydrate-acs-reagent-sodium-dihydrogen-phosphate-reagents-3/01337702#?keyword=NaH2PO4%20H2O</t>
  </si>
  <si>
    <t>24 pack</t>
  </si>
  <si>
    <t>MillipreSigma</t>
  </si>
  <si>
    <t>https://www.sigmaaldrich.com/US/en/product/mm/ufc9100</t>
  </si>
  <si>
    <t>UFC910024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</si>
</sst>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sz val="12"/>
      <color theme="1"/>
      <name val="Aptos"/>
    </font>
    <font>
      <b/>
      <sz val="16"/>
      <color theme="8" tint="0.39997558519241921"/>
      <name val="Aptos Narrow"/>
      <scheme val="minor"/>
    </font>
    <font>
      <sz val="12"/>
      <color theme="1"/>
      <name val="Aptos Narrow"/>
      <scheme val="minor"/>
    </font>
    <font>
      <u/>
      <sz val="12"/>
      <color theme="10"/>
      <name val="Aptos Narrow"/>
      <family val="2"/>
      <scheme val="minor"/>
    </font>
    <font>
      <sz val="12"/>
      <color rgb="FF00000A"/>
      <name val="Times New Roman"/>
      <family val="1"/>
    </font>
    <font>
      <vertAlign val="subscript"/>
      <sz val="12"/>
      <color rgb="FF00000A"/>
      <name val="Times New Roman"/>
      <family val="1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13">
    <xf numFmtId="0" fontId="0" fillId="0" borderId="0" xfId="0"/>
    <xf numFmtId="0" fontId="1" fillId="0" borderId="0" xfId="0" applyFont="1"/>
    <xf numFmtId="0" fontId="1" fillId="0" borderId="1" xfId="0" applyFont="1" applyBorder="1"/>
    <xf numFmtId="0" fontId="2" fillId="0" borderId="0" xfId="0" applyFont="1"/>
    <xf numFmtId="0" fontId="1" fillId="2" borderId="0" xfId="0" applyFont="1" applyFill="1"/>
    <xf numFmtId="0" fontId="3" fillId="0" borderId="2" xfId="0" applyFont="1" applyBorder="1" applyAlignment="1">
      <alignment horizontal="left"/>
    </xf>
    <xf numFmtId="0" fontId="3" fillId="0" borderId="0" xfId="0" applyFont="1" applyAlignment="1">
      <alignment horizontal="left"/>
    </xf>
    <xf numFmtId="0" fontId="5" fillId="0" borderId="0" xfId="1"/>
    <xf numFmtId="0" fontId="6" fillId="0" borderId="3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 wrapText="1"/>
    </xf>
    <xf numFmtId="0" fontId="6" fillId="0" borderId="6" xfId="0" applyFont="1" applyBorder="1" applyAlignment="1">
      <alignment horizontal="center" vertical="center" wrapText="1"/>
    </xf>
    <xf numFmtId="0" fontId="8" fillId="0" borderId="7" xfId="0" applyFont="1" applyBorder="1" applyAlignment="1">
      <alignment vertical="top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fishersci.com/shop/products/boric-acid-99-6-acs-reagent-thermo-scientific/AC423485000" TargetMode="External"/><Relationship Id="rId2" Type="http://schemas.openxmlformats.org/officeDocument/2006/relationships/hyperlink" Target="https://www.walmart.com/ip/24-Piece-Dinner-Spoons-Set-6-7-inch-Unokit-Stainless-Steel-Spoons-silverware-Dessert-Spoon-Tablespoon/17929311573?classType=REGULAR&amp;from=/search" TargetMode="External"/><Relationship Id="rId1" Type="http://schemas.openxmlformats.org/officeDocument/2006/relationships/hyperlink" Target="https://www.walmart.com/ip/DOMINOX-Propane-Torch-Head-Manual-Start-Solid-Brass-Brazing-Torch-Fuel-MAPP-MAP-Pro-Propane-CGA600-Cylinder-Bottle-Nozzle-Blow-Torch-Tip-Soldering-Br/5526112190?classType=REGULAR&amp;from=/search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CDFD1A-9ABA-8B4B-9383-96E13334478B}">
  <dimension ref="A1:E44"/>
  <sheetViews>
    <sheetView workbookViewId="0">
      <selection activeCell="D26" sqref="D26"/>
    </sheetView>
  </sheetViews>
  <sheetFormatPr baseColWidth="10" defaultRowHeight="16" x14ac:dyDescent="0.2"/>
  <cols>
    <col min="2" max="2" width="14.6640625" bestFit="1" customWidth="1"/>
    <col min="3" max="3" width="12.33203125" bestFit="1" customWidth="1"/>
    <col min="4" max="4" width="62.33203125" bestFit="1" customWidth="1"/>
    <col min="5" max="5" width="39.83203125" bestFit="1" customWidth="1"/>
  </cols>
  <sheetData>
    <row r="1" spans="1:5" s="2" customFormat="1" ht="17" thickBot="1" x14ac:dyDescent="0.25">
      <c r="A1" s="2" t="s">
        <v>66</v>
      </c>
      <c r="B1" s="2" t="s">
        <v>0</v>
      </c>
      <c r="C1" s="2" t="s">
        <v>1</v>
      </c>
      <c r="D1" s="2" t="s">
        <v>2</v>
      </c>
      <c r="E1" s="2" t="s">
        <v>3</v>
      </c>
    </row>
    <row r="2" spans="1:5" ht="22" x14ac:dyDescent="0.3">
      <c r="B2" s="5" t="s">
        <v>4</v>
      </c>
      <c r="C2" s="5"/>
      <c r="D2" s="5"/>
      <c r="E2" s="5"/>
    </row>
    <row r="4" spans="1:5" x14ac:dyDescent="0.2">
      <c r="A4" s="4" t="s">
        <v>67</v>
      </c>
      <c r="B4" t="s">
        <v>5</v>
      </c>
      <c r="C4" t="s">
        <v>8</v>
      </c>
      <c r="D4" t="s">
        <v>6</v>
      </c>
      <c r="E4" t="s">
        <v>7</v>
      </c>
    </row>
    <row r="5" spans="1:5" x14ac:dyDescent="0.2">
      <c r="A5" s="4" t="s">
        <v>67</v>
      </c>
      <c r="B5" t="s">
        <v>10</v>
      </c>
      <c r="C5" t="s">
        <v>8</v>
      </c>
      <c r="D5" s="3" t="s">
        <v>9</v>
      </c>
      <c r="E5" t="s">
        <v>7</v>
      </c>
    </row>
    <row r="6" spans="1:5" x14ac:dyDescent="0.2">
      <c r="A6" s="1"/>
      <c r="B6" t="s">
        <v>12</v>
      </c>
      <c r="C6" t="s">
        <v>13</v>
      </c>
      <c r="D6" s="3" t="s">
        <v>14</v>
      </c>
      <c r="E6" t="s">
        <v>11</v>
      </c>
    </row>
    <row r="7" spans="1:5" x14ac:dyDescent="0.2">
      <c r="A7" s="1"/>
      <c r="B7" t="s">
        <v>15</v>
      </c>
      <c r="C7" t="s">
        <v>8</v>
      </c>
      <c r="D7" t="s">
        <v>16</v>
      </c>
      <c r="E7" t="s">
        <v>11</v>
      </c>
    </row>
    <row r="8" spans="1:5" x14ac:dyDescent="0.2">
      <c r="A8" s="4" t="s">
        <v>67</v>
      </c>
      <c r="B8" t="s">
        <v>18</v>
      </c>
      <c r="C8">
        <v>1</v>
      </c>
      <c r="D8" t="s">
        <v>17</v>
      </c>
      <c r="E8" t="s">
        <v>11</v>
      </c>
    </row>
    <row r="9" spans="1:5" x14ac:dyDescent="0.2">
      <c r="A9" s="4" t="s">
        <v>67</v>
      </c>
      <c r="B9" t="s">
        <v>20</v>
      </c>
      <c r="C9" t="s">
        <v>22</v>
      </c>
      <c r="D9" t="s">
        <v>19</v>
      </c>
      <c r="E9" t="s">
        <v>21</v>
      </c>
    </row>
    <row r="10" spans="1:5" x14ac:dyDescent="0.2">
      <c r="A10" s="4" t="s">
        <v>67</v>
      </c>
      <c r="B10" t="s">
        <v>25</v>
      </c>
      <c r="C10">
        <v>1</v>
      </c>
      <c r="D10" t="s">
        <v>23</v>
      </c>
      <c r="E10" t="s">
        <v>24</v>
      </c>
    </row>
    <row r="11" spans="1:5" x14ac:dyDescent="0.2">
      <c r="A11" s="4" t="s">
        <v>67</v>
      </c>
      <c r="D11" t="s">
        <v>74</v>
      </c>
    </row>
    <row r="12" spans="1:5" x14ac:dyDescent="0.2">
      <c r="A12" s="4" t="s">
        <v>67</v>
      </c>
      <c r="D12" t="s">
        <v>26</v>
      </c>
    </row>
    <row r="13" spans="1:5" x14ac:dyDescent="0.2">
      <c r="A13" s="1"/>
      <c r="B13" t="s">
        <v>42</v>
      </c>
      <c r="C13" t="s">
        <v>40</v>
      </c>
      <c r="D13" t="s">
        <v>41</v>
      </c>
      <c r="E13" t="s">
        <v>11</v>
      </c>
    </row>
    <row r="14" spans="1:5" x14ac:dyDescent="0.2">
      <c r="A14" s="4" t="s">
        <v>67</v>
      </c>
      <c r="B14" t="s">
        <v>63</v>
      </c>
      <c r="C14">
        <v>2</v>
      </c>
      <c r="D14" t="s">
        <v>62</v>
      </c>
      <c r="E14" t="s">
        <v>29</v>
      </c>
    </row>
    <row r="15" spans="1:5" x14ac:dyDescent="0.2">
      <c r="A15" s="4" t="s">
        <v>67</v>
      </c>
      <c r="B15" t="s">
        <v>64</v>
      </c>
      <c r="C15">
        <v>2</v>
      </c>
      <c r="D15" t="s">
        <v>65</v>
      </c>
      <c r="E15" t="s">
        <v>29</v>
      </c>
    </row>
    <row r="16" spans="1:5" x14ac:dyDescent="0.2">
      <c r="A16" s="1"/>
    </row>
    <row r="17" spans="1:5" x14ac:dyDescent="0.2">
      <c r="A17" s="1"/>
    </row>
    <row r="18" spans="1:5" ht="22" x14ac:dyDescent="0.3">
      <c r="A18" s="1"/>
      <c r="B18" s="6" t="s">
        <v>27</v>
      </c>
      <c r="C18" s="6"/>
      <c r="D18" s="6"/>
      <c r="E18" s="6"/>
    </row>
    <row r="19" spans="1:5" x14ac:dyDescent="0.2">
      <c r="A19" s="1"/>
    </row>
    <row r="20" spans="1:5" x14ac:dyDescent="0.2">
      <c r="A20" s="4" t="s">
        <v>67</v>
      </c>
      <c r="B20">
        <v>212750</v>
      </c>
      <c r="C20">
        <v>1</v>
      </c>
      <c r="D20" t="s">
        <v>28</v>
      </c>
      <c r="E20" t="s">
        <v>29</v>
      </c>
    </row>
    <row r="21" spans="1:5" x14ac:dyDescent="0.2">
      <c r="A21" s="4" t="s">
        <v>67</v>
      </c>
      <c r="B21">
        <v>211705</v>
      </c>
      <c r="C21">
        <v>1</v>
      </c>
      <c r="D21" t="s">
        <v>30</v>
      </c>
      <c r="E21" t="s">
        <v>29</v>
      </c>
    </row>
    <row r="22" spans="1:5" x14ac:dyDescent="0.2">
      <c r="A22" s="1"/>
      <c r="B22" t="s">
        <v>31</v>
      </c>
      <c r="C22">
        <v>1</v>
      </c>
      <c r="D22" t="s">
        <v>32</v>
      </c>
      <c r="E22" t="s">
        <v>11</v>
      </c>
    </row>
    <row r="23" spans="1:5" x14ac:dyDescent="0.2">
      <c r="A23" s="4" t="s">
        <v>67</v>
      </c>
      <c r="B23" t="s">
        <v>33</v>
      </c>
      <c r="C23">
        <v>1</v>
      </c>
      <c r="D23" t="s">
        <v>34</v>
      </c>
      <c r="E23" t="s">
        <v>11</v>
      </c>
    </row>
    <row r="24" spans="1:5" x14ac:dyDescent="0.2">
      <c r="A24" s="4" t="s">
        <v>67</v>
      </c>
      <c r="B24" t="s">
        <v>35</v>
      </c>
      <c r="C24">
        <v>1</v>
      </c>
      <c r="D24" t="s">
        <v>38</v>
      </c>
      <c r="E24" t="s">
        <v>36</v>
      </c>
    </row>
    <row r="25" spans="1:5" x14ac:dyDescent="0.2">
      <c r="A25" s="4" t="s">
        <v>67</v>
      </c>
      <c r="B25" t="s">
        <v>37</v>
      </c>
      <c r="C25">
        <v>1</v>
      </c>
      <c r="D25" t="s">
        <v>45</v>
      </c>
      <c r="E25" t="s">
        <v>36</v>
      </c>
    </row>
    <row r="26" spans="1:5" x14ac:dyDescent="0.2">
      <c r="B26" t="s">
        <v>39</v>
      </c>
      <c r="C26">
        <v>1</v>
      </c>
      <c r="D26" t="s">
        <v>46</v>
      </c>
      <c r="E26" t="s">
        <v>36</v>
      </c>
    </row>
    <row r="29" spans="1:5" ht="22" x14ac:dyDescent="0.3">
      <c r="B29" s="6" t="s">
        <v>43</v>
      </c>
      <c r="C29" s="6"/>
      <c r="D29" s="6"/>
      <c r="E29" s="6"/>
    </row>
    <row r="31" spans="1:5" x14ac:dyDescent="0.2">
      <c r="B31" t="s">
        <v>44</v>
      </c>
      <c r="C31" t="s">
        <v>47</v>
      </c>
      <c r="D31" t="s">
        <v>48</v>
      </c>
      <c r="E31" t="s">
        <v>11</v>
      </c>
    </row>
    <row r="32" spans="1:5" x14ac:dyDescent="0.2">
      <c r="B32" t="s">
        <v>49</v>
      </c>
      <c r="C32" t="s">
        <v>50</v>
      </c>
      <c r="D32" t="s">
        <v>51</v>
      </c>
      <c r="E32" t="s">
        <v>7</v>
      </c>
    </row>
    <row r="33" spans="2:5" x14ac:dyDescent="0.2">
      <c r="B33" t="s">
        <v>52</v>
      </c>
      <c r="C33" t="s">
        <v>53</v>
      </c>
      <c r="D33" t="s">
        <v>54</v>
      </c>
      <c r="E33" t="s">
        <v>75</v>
      </c>
    </row>
    <row r="34" spans="2:5" x14ac:dyDescent="0.2">
      <c r="B34" t="s">
        <v>55</v>
      </c>
      <c r="C34" t="s">
        <v>53</v>
      </c>
      <c r="D34" t="s">
        <v>56</v>
      </c>
      <c r="E34" t="s">
        <v>75</v>
      </c>
    </row>
    <row r="35" spans="2:5" x14ac:dyDescent="0.2">
      <c r="B35" t="s">
        <v>58</v>
      </c>
      <c r="C35">
        <v>1</v>
      </c>
      <c r="D35" t="s">
        <v>57</v>
      </c>
      <c r="E35" t="s">
        <v>76</v>
      </c>
    </row>
    <row r="36" spans="2:5" x14ac:dyDescent="0.2">
      <c r="B36" t="s">
        <v>59</v>
      </c>
      <c r="C36">
        <v>1</v>
      </c>
      <c r="D36" t="s">
        <v>61</v>
      </c>
      <c r="E36" t="s">
        <v>60</v>
      </c>
    </row>
    <row r="38" spans="2:5" ht="22" x14ac:dyDescent="0.3">
      <c r="B38" s="6" t="s">
        <v>72</v>
      </c>
      <c r="C38" s="6"/>
      <c r="D38" s="6"/>
      <c r="E38" s="6"/>
    </row>
    <row r="40" spans="2:5" x14ac:dyDescent="0.2">
      <c r="D40" t="s">
        <v>68</v>
      </c>
    </row>
    <row r="41" spans="2:5" x14ac:dyDescent="0.2">
      <c r="D41" t="s">
        <v>69</v>
      </c>
    </row>
    <row r="42" spans="2:5" x14ac:dyDescent="0.2">
      <c r="D42" t="s">
        <v>70</v>
      </c>
    </row>
    <row r="43" spans="2:5" x14ac:dyDescent="0.2">
      <c r="D43" t="s">
        <v>71</v>
      </c>
    </row>
    <row r="44" spans="2:5" x14ac:dyDescent="0.2">
      <c r="D44" t="s">
        <v>73</v>
      </c>
    </row>
  </sheetData>
  <mergeCells count="4">
    <mergeCell ref="B2:E2"/>
    <mergeCell ref="B18:E18"/>
    <mergeCell ref="B29:E29"/>
    <mergeCell ref="B38:E38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9D1303-9AA8-9745-A7CD-E576749EFEDF}">
  <dimension ref="A1:F21"/>
  <sheetViews>
    <sheetView tabSelected="1" workbookViewId="0">
      <selection activeCell="C26" sqref="C26"/>
    </sheetView>
  </sheetViews>
  <sheetFormatPr baseColWidth="10" defaultRowHeight="16" x14ac:dyDescent="0.2"/>
  <cols>
    <col min="1" max="1" width="14.5" bestFit="1" customWidth="1"/>
    <col min="3" max="3" width="49.6640625" bestFit="1" customWidth="1"/>
    <col min="4" max="4" width="15.33203125" bestFit="1" customWidth="1"/>
    <col min="6" max="6" width="25.5" bestFit="1" customWidth="1"/>
  </cols>
  <sheetData>
    <row r="1" spans="1:6" ht="17" thickBo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77</v>
      </c>
      <c r="F1" s="2" t="s">
        <v>137</v>
      </c>
    </row>
    <row r="2" spans="1:6" x14ac:dyDescent="0.2">
      <c r="A2" t="s">
        <v>82</v>
      </c>
      <c r="B2" t="s">
        <v>86</v>
      </c>
      <c r="C2" t="s">
        <v>78</v>
      </c>
      <c r="D2" t="s">
        <v>81</v>
      </c>
      <c r="E2" t="s">
        <v>83</v>
      </c>
      <c r="F2" t="s">
        <v>138</v>
      </c>
    </row>
    <row r="3" spans="1:6" x14ac:dyDescent="0.2">
      <c r="A3" t="s">
        <v>84</v>
      </c>
      <c r="B3" t="s">
        <v>85</v>
      </c>
      <c r="C3" t="s">
        <v>79</v>
      </c>
      <c r="D3" t="s">
        <v>81</v>
      </c>
      <c r="E3" t="s">
        <v>87</v>
      </c>
      <c r="F3" t="s">
        <v>139</v>
      </c>
    </row>
    <row r="4" spans="1:6" x14ac:dyDescent="0.2">
      <c r="B4" t="s">
        <v>88</v>
      </c>
      <c r="C4" t="s">
        <v>90</v>
      </c>
      <c r="D4" t="s">
        <v>80</v>
      </c>
      <c r="E4" t="s">
        <v>89</v>
      </c>
      <c r="F4" t="s">
        <v>140</v>
      </c>
    </row>
    <row r="5" spans="1:6" x14ac:dyDescent="0.2">
      <c r="B5">
        <v>1</v>
      </c>
      <c r="C5" t="s">
        <v>92</v>
      </c>
      <c r="D5" t="s">
        <v>80</v>
      </c>
      <c r="E5" s="7" t="s">
        <v>91</v>
      </c>
      <c r="F5" t="s">
        <v>140</v>
      </c>
    </row>
    <row r="6" spans="1:6" x14ac:dyDescent="0.2">
      <c r="A6" t="s">
        <v>94</v>
      </c>
      <c r="B6">
        <v>1</v>
      </c>
      <c r="C6" t="s">
        <v>93</v>
      </c>
      <c r="D6" t="s">
        <v>95</v>
      </c>
      <c r="E6" t="s">
        <v>96</v>
      </c>
      <c r="F6" t="s">
        <v>140</v>
      </c>
    </row>
    <row r="7" spans="1:6" x14ac:dyDescent="0.2">
      <c r="B7" t="s">
        <v>97</v>
      </c>
      <c r="C7" t="s">
        <v>99</v>
      </c>
      <c r="D7" t="s">
        <v>80</v>
      </c>
      <c r="E7" s="7" t="s">
        <v>98</v>
      </c>
      <c r="F7" t="s">
        <v>141</v>
      </c>
    </row>
    <row r="8" spans="1:6" x14ac:dyDescent="0.2">
      <c r="A8" t="s">
        <v>101</v>
      </c>
      <c r="B8">
        <v>5</v>
      </c>
      <c r="C8" t="s">
        <v>103</v>
      </c>
      <c r="D8" t="s">
        <v>100</v>
      </c>
      <c r="E8" t="s">
        <v>102</v>
      </c>
      <c r="F8" t="s">
        <v>141</v>
      </c>
    </row>
    <row r="9" spans="1:6" x14ac:dyDescent="0.2">
      <c r="A9" t="s">
        <v>117</v>
      </c>
      <c r="B9" t="s">
        <v>118</v>
      </c>
      <c r="C9" t="s">
        <v>104</v>
      </c>
      <c r="D9" t="s">
        <v>116</v>
      </c>
      <c r="E9" t="s">
        <v>119</v>
      </c>
      <c r="F9" t="s">
        <v>142</v>
      </c>
    </row>
    <row r="10" spans="1:6" x14ac:dyDescent="0.2">
      <c r="A10" t="s">
        <v>130</v>
      </c>
      <c r="B10" t="s">
        <v>86</v>
      </c>
      <c r="C10" t="s">
        <v>105</v>
      </c>
      <c r="D10" t="s">
        <v>116</v>
      </c>
      <c r="E10" t="s">
        <v>129</v>
      </c>
      <c r="F10" t="s">
        <v>142</v>
      </c>
    </row>
    <row r="11" spans="1:6" x14ac:dyDescent="0.2">
      <c r="A11" t="s">
        <v>147</v>
      </c>
      <c r="B11" t="s">
        <v>148</v>
      </c>
      <c r="C11" t="s">
        <v>106</v>
      </c>
      <c r="D11" t="s">
        <v>100</v>
      </c>
      <c r="E11" t="s">
        <v>149</v>
      </c>
      <c r="F11" t="s">
        <v>142</v>
      </c>
    </row>
    <row r="12" spans="1:6" x14ac:dyDescent="0.2">
      <c r="A12" t="s">
        <v>145</v>
      </c>
      <c r="B12" t="s">
        <v>135</v>
      </c>
      <c r="C12" t="s">
        <v>107</v>
      </c>
      <c r="D12" t="s">
        <v>100</v>
      </c>
      <c r="E12" t="s">
        <v>146</v>
      </c>
      <c r="F12" t="s">
        <v>142</v>
      </c>
    </row>
    <row r="13" spans="1:6" x14ac:dyDescent="0.2">
      <c r="A13" s="12" t="s">
        <v>132</v>
      </c>
      <c r="B13" t="s">
        <v>131</v>
      </c>
      <c r="C13" t="s">
        <v>108</v>
      </c>
      <c r="D13" t="s">
        <v>100</v>
      </c>
      <c r="E13" s="7" t="s">
        <v>150</v>
      </c>
      <c r="F13" t="s">
        <v>142</v>
      </c>
    </row>
    <row r="14" spans="1:6" x14ac:dyDescent="0.2">
      <c r="A14" t="s">
        <v>152</v>
      </c>
      <c r="B14" t="s">
        <v>135</v>
      </c>
      <c r="C14" t="s">
        <v>109</v>
      </c>
      <c r="D14" t="s">
        <v>81</v>
      </c>
      <c r="E14" t="s">
        <v>151</v>
      </c>
      <c r="F14" t="s">
        <v>142</v>
      </c>
    </row>
    <row r="15" spans="1:6" x14ac:dyDescent="0.2">
      <c r="A15" s="12" t="s">
        <v>152</v>
      </c>
      <c r="B15" t="s">
        <v>86</v>
      </c>
      <c r="C15" t="s">
        <v>110</v>
      </c>
      <c r="D15" t="s">
        <v>81</v>
      </c>
      <c r="E15" t="s">
        <v>153</v>
      </c>
      <c r="F15" t="s">
        <v>142</v>
      </c>
    </row>
    <row r="16" spans="1:6" x14ac:dyDescent="0.2">
      <c r="A16" t="s">
        <v>133</v>
      </c>
      <c r="B16" t="s">
        <v>86</v>
      </c>
      <c r="C16" t="s">
        <v>111</v>
      </c>
      <c r="D16" t="s">
        <v>116</v>
      </c>
      <c r="E16" t="s">
        <v>154</v>
      </c>
      <c r="F16" t="s">
        <v>142</v>
      </c>
    </row>
    <row r="17" spans="1:6" x14ac:dyDescent="0.2">
      <c r="A17" t="s">
        <v>134</v>
      </c>
      <c r="B17" t="s">
        <v>86</v>
      </c>
      <c r="C17" t="s">
        <v>112</v>
      </c>
      <c r="D17" t="s">
        <v>81</v>
      </c>
      <c r="E17" t="s">
        <v>155</v>
      </c>
      <c r="F17" t="s">
        <v>142</v>
      </c>
    </row>
    <row r="18" spans="1:6" x14ac:dyDescent="0.2">
      <c r="A18" t="s">
        <v>156</v>
      </c>
      <c r="B18" t="s">
        <v>135</v>
      </c>
      <c r="C18" t="s">
        <v>113</v>
      </c>
      <c r="D18" t="s">
        <v>100</v>
      </c>
      <c r="E18" t="s">
        <v>157</v>
      </c>
      <c r="F18" t="s">
        <v>142</v>
      </c>
    </row>
    <row r="19" spans="1:6" x14ac:dyDescent="0.2">
      <c r="A19" t="s">
        <v>158</v>
      </c>
      <c r="B19" t="s">
        <v>131</v>
      </c>
      <c r="C19" t="s">
        <v>114</v>
      </c>
      <c r="D19" t="s">
        <v>116</v>
      </c>
      <c r="E19" t="s">
        <v>159</v>
      </c>
      <c r="F19" t="s">
        <v>143</v>
      </c>
    </row>
    <row r="20" spans="1:6" x14ac:dyDescent="0.2">
      <c r="A20" t="s">
        <v>161</v>
      </c>
      <c r="B20" t="s">
        <v>160</v>
      </c>
      <c r="C20" t="s">
        <v>115</v>
      </c>
      <c r="D20" t="s">
        <v>100</v>
      </c>
      <c r="E20" t="s">
        <v>162</v>
      </c>
      <c r="F20" t="s">
        <v>143</v>
      </c>
    </row>
    <row r="21" spans="1:6" x14ac:dyDescent="0.2">
      <c r="A21" t="s">
        <v>166</v>
      </c>
      <c r="B21" t="s">
        <v>163</v>
      </c>
      <c r="C21" t="s">
        <v>136</v>
      </c>
      <c r="D21" t="s">
        <v>164</v>
      </c>
      <c r="E21" t="s">
        <v>165</v>
      </c>
      <c r="F21" t="s">
        <v>144</v>
      </c>
    </row>
  </sheetData>
  <hyperlinks>
    <hyperlink ref="E5" r:id="rId1" xr:uid="{11997066-098D-864D-97AC-75EBA54DF1E6}"/>
    <hyperlink ref="E7" r:id="rId2" xr:uid="{29C22B3C-2328-DD4A-9961-B08B2CFDAF1E}"/>
    <hyperlink ref="E13" r:id="rId3" location="?keyword=42348-500" xr:uid="{E5773887-A1E3-9E40-8C96-432E1D302445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B37C7C-51EC-E044-9B9C-3BC704C8224D}">
  <dimension ref="A2:D12"/>
  <sheetViews>
    <sheetView workbookViewId="0">
      <selection activeCell="F10" sqref="F10"/>
    </sheetView>
  </sheetViews>
  <sheetFormatPr baseColWidth="10" defaultRowHeight="16" x14ac:dyDescent="0.2"/>
  <sheetData>
    <row r="2" spans="1:4" ht="17" thickBot="1" x14ac:dyDescent="0.25">
      <c r="C2" t="s">
        <v>127</v>
      </c>
      <c r="D2" t="s">
        <v>128</v>
      </c>
    </row>
    <row r="3" spans="1:4" ht="18" thickBot="1" x14ac:dyDescent="0.25">
      <c r="A3" s="8" t="s">
        <v>104</v>
      </c>
      <c r="B3" s="9">
        <v>21.19</v>
      </c>
      <c r="C3">
        <f>B3*50</f>
        <v>1059.5</v>
      </c>
      <c r="D3">
        <f>B3*100</f>
        <v>2119</v>
      </c>
    </row>
    <row r="4" spans="1:4" ht="20" thickBot="1" x14ac:dyDescent="0.25">
      <c r="A4" s="10" t="s">
        <v>120</v>
      </c>
      <c r="B4" s="11">
        <v>3.55</v>
      </c>
      <c r="C4">
        <f>B4*50</f>
        <v>177.5</v>
      </c>
      <c r="D4">
        <f>B4*100</f>
        <v>355</v>
      </c>
    </row>
    <row r="5" spans="1:4" ht="18" thickBot="1" x14ac:dyDescent="0.25">
      <c r="A5" s="10" t="s">
        <v>106</v>
      </c>
      <c r="B5" s="11">
        <v>0.59899999999999998</v>
      </c>
      <c r="C5">
        <f>B5*50</f>
        <v>29.95</v>
      </c>
      <c r="D5">
        <f>B5*100</f>
        <v>59.9</v>
      </c>
    </row>
    <row r="6" spans="1:4" ht="18" thickBot="1" x14ac:dyDescent="0.25">
      <c r="A6" s="10" t="s">
        <v>121</v>
      </c>
      <c r="B6" s="11">
        <v>8.6199999999999999E-2</v>
      </c>
      <c r="C6">
        <f>B6*50</f>
        <v>4.3099999999999996</v>
      </c>
      <c r="D6">
        <f>B6*100</f>
        <v>8.6199999999999992</v>
      </c>
    </row>
    <row r="7" spans="1:4" ht="20" thickBot="1" x14ac:dyDescent="0.25">
      <c r="A7" s="10" t="s">
        <v>122</v>
      </c>
      <c r="B7" s="11">
        <v>2.29E-2</v>
      </c>
      <c r="C7">
        <f>B7*50</f>
        <v>1.145</v>
      </c>
      <c r="D7">
        <f>B7*100</f>
        <v>2.29</v>
      </c>
    </row>
    <row r="8" spans="1:4" ht="18" thickBot="1" x14ac:dyDescent="0.25">
      <c r="A8" s="10" t="s">
        <v>109</v>
      </c>
      <c r="B8" s="11">
        <v>2.7499999999999998E-3</v>
      </c>
      <c r="C8">
        <f>B8*50</f>
        <v>0.13749999999999998</v>
      </c>
      <c r="D8">
        <f>B8*100</f>
        <v>0.27499999999999997</v>
      </c>
    </row>
    <row r="9" spans="1:4" ht="20" thickBot="1" x14ac:dyDescent="0.25">
      <c r="A9" s="10" t="s">
        <v>123</v>
      </c>
      <c r="B9" s="11">
        <v>0.17349999999999999</v>
      </c>
      <c r="C9">
        <f>B9*50</f>
        <v>8.6749999999999989</v>
      </c>
      <c r="D9">
        <f>B9*100</f>
        <v>17.349999999999998</v>
      </c>
    </row>
    <row r="10" spans="1:4" ht="37" thickBot="1" x14ac:dyDescent="0.25">
      <c r="A10" s="8" t="s">
        <v>124</v>
      </c>
      <c r="B10" s="9">
        <v>9.5920000000000005</v>
      </c>
      <c r="C10">
        <f>B10*50</f>
        <v>479.6</v>
      </c>
      <c r="D10">
        <f>B10*100</f>
        <v>959.2</v>
      </c>
    </row>
    <row r="11" spans="1:4" ht="37" thickBot="1" x14ac:dyDescent="0.25">
      <c r="A11" s="10" t="s">
        <v>125</v>
      </c>
      <c r="B11" s="11">
        <v>1.3440000000000001</v>
      </c>
      <c r="C11">
        <f>B11*50</f>
        <v>67.2</v>
      </c>
      <c r="D11">
        <f>B11*100</f>
        <v>134.4</v>
      </c>
    </row>
    <row r="12" spans="1:4" ht="37" thickBot="1" x14ac:dyDescent="0.25">
      <c r="A12" s="10" t="s">
        <v>126</v>
      </c>
      <c r="B12" s="11">
        <v>2.1899999999999999E-2</v>
      </c>
      <c r="C12">
        <f>B12*50</f>
        <v>1.095</v>
      </c>
      <c r="D12">
        <f>B12*100</f>
        <v>2.19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Updated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Jeremy Ethan Schreier</dc:creator>
  <cp:lastModifiedBy>Jeremy Ethan Schreier</cp:lastModifiedBy>
  <dcterms:created xsi:type="dcterms:W3CDTF">2025-09-14T22:34:40Z</dcterms:created>
  <dcterms:modified xsi:type="dcterms:W3CDTF">2026-01-29T19:51:28Z</dcterms:modified>
</cp:coreProperties>
</file>