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E3CFAC6D-81D4-3A40-987F-61D32374AC09}" xr6:coauthVersionLast="47" xr6:coauthVersionMax="47" xr10:uidLastSave="{00000000-0000-0000-0000-000000000000}"/>
  <bookViews>
    <workbookView xWindow="0" yWindow="600" windowWidth="33600" windowHeight="19520" xr2:uid="{90E90E40-A15B-484F-93B1-6C94817F63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5" i="1"/>
  <c r="W20" i="1"/>
  <c r="J20" i="1"/>
  <c r="D20" i="1"/>
  <c r="P38" i="1"/>
  <c r="Y4" i="1" s="1"/>
  <c r="Y8" i="1" s="1"/>
  <c r="Q38" i="1"/>
  <c r="Q20" i="1"/>
  <c r="K38" i="1"/>
  <c r="K20" i="1"/>
  <c r="E38" i="1"/>
  <c r="E20" i="1"/>
  <c r="Z4" i="1" l="1"/>
  <c r="AA4" i="1" s="1"/>
  <c r="Z8" i="1" l="1"/>
  <c r="AA8" i="1" s="1"/>
  <c r="AB8" i="1" s="1"/>
</calcChain>
</file>

<file path=xl/sharedStrings.xml><?xml version="1.0" encoding="utf-8"?>
<sst xmlns="http://schemas.openxmlformats.org/spreadsheetml/2006/main" count="211" uniqueCount="30">
  <si>
    <t>Sample</t>
  </si>
  <si>
    <t>SizeFraction</t>
  </si>
  <si>
    <t>nanoSIMS</t>
  </si>
  <si>
    <t>FCM</t>
  </si>
  <si>
    <t>EhV</t>
  </si>
  <si>
    <t>&lt;50</t>
  </si>
  <si>
    <t>&lt;0.8</t>
  </si>
  <si>
    <t>&lt;0.1</t>
  </si>
  <si>
    <t>V5</t>
  </si>
  <si>
    <t>EhVDOM</t>
  </si>
  <si>
    <t>V5DOM</t>
  </si>
  <si>
    <t>ASW</t>
  </si>
  <si>
    <t>Virus</t>
  </si>
  <si>
    <t>DOM</t>
  </si>
  <si>
    <t>Control</t>
  </si>
  <si>
    <t>T0</t>
  </si>
  <si>
    <t>T16h</t>
  </si>
  <si>
    <t>T40h</t>
  </si>
  <si>
    <t>T64h</t>
  </si>
  <si>
    <t>T88h</t>
  </si>
  <si>
    <t>T112h</t>
  </si>
  <si>
    <t>T136h</t>
  </si>
  <si>
    <t># samples</t>
  </si>
  <si>
    <t>total nanoSIMS</t>
  </si>
  <si>
    <t>totalFCM</t>
  </si>
  <si>
    <t>Difference</t>
  </si>
  <si>
    <t>Glut needed</t>
  </si>
  <si>
    <t>samples of 10 ml fixed</t>
  </si>
  <si>
    <t>sample of 100 ml fixed</t>
  </si>
  <si>
    <t>no.Filters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</si>
</sst>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5E6E-1BFD-BA4F-AC0A-20ED683403E8}">
  <dimension ref="A3:AB38"/>
  <sheetViews>
    <sheetView tabSelected="1" zoomScale="174" workbookViewId="0">
      <selection activeCell="F21" sqref="F21"/>
    </sheetView>
  </sheetViews>
  <sheetFormatPr baseColWidth="10" defaultRowHeight="16" x14ac:dyDescent="0.2"/>
  <cols>
    <col min="1" max="24" width="10.83203125" style="1"/>
    <col min="25" max="25" width="20.1640625" style="1" bestFit="1" customWidth="1"/>
    <col min="26" max="26" width="22.1640625" style="1" bestFit="1" customWidth="1"/>
    <col min="27" max="16384" width="10.83203125" style="1"/>
  </cols>
  <sheetData>
    <row r="3" spans="1:28" x14ac:dyDescent="0.2">
      <c r="A3" s="5" t="s">
        <v>15</v>
      </c>
      <c r="B3" s="5"/>
      <c r="C3" s="5"/>
      <c r="D3" s="5"/>
      <c r="E3" s="5"/>
      <c r="G3" s="5" t="s">
        <v>17</v>
      </c>
      <c r="H3" s="5"/>
      <c r="I3" s="5"/>
      <c r="J3" s="5"/>
      <c r="K3" s="5"/>
      <c r="M3" s="5" t="s">
        <v>19</v>
      </c>
      <c r="N3" s="5"/>
      <c r="O3" s="5"/>
      <c r="P3" s="5"/>
      <c r="Q3" s="5"/>
      <c r="S3" s="5" t="s">
        <v>21</v>
      </c>
      <c r="T3" s="5"/>
      <c r="U3" s="5"/>
      <c r="V3" s="5"/>
      <c r="W3" s="5"/>
      <c r="Y3" s="1" t="s">
        <v>23</v>
      </c>
      <c r="Z3" s="1" t="s">
        <v>24</v>
      </c>
      <c r="AA3" s="1" t="s">
        <v>25</v>
      </c>
    </row>
    <row r="4" spans="1:28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29</v>
      </c>
      <c r="H4" s="1" t="s">
        <v>0</v>
      </c>
      <c r="I4" s="1" t="s">
        <v>1</v>
      </c>
      <c r="J4" s="1" t="s">
        <v>2</v>
      </c>
      <c r="K4" s="1" t="s">
        <v>3</v>
      </c>
      <c r="N4" s="1" t="s">
        <v>0</v>
      </c>
      <c r="O4" s="1" t="s">
        <v>1</v>
      </c>
      <c r="P4" s="1" t="s">
        <v>2</v>
      </c>
      <c r="Q4" s="1" t="s">
        <v>3</v>
      </c>
      <c r="T4" s="1" t="s">
        <v>0</v>
      </c>
      <c r="U4" s="1" t="s">
        <v>1</v>
      </c>
      <c r="V4" s="1" t="s">
        <v>2</v>
      </c>
      <c r="W4" s="1" t="s">
        <v>3</v>
      </c>
      <c r="Y4" s="1">
        <f>SUM(V20,P20,P38,J20,J38,D20,D38)</f>
        <v>73</v>
      </c>
      <c r="Z4" s="1">
        <f>SUM(W20,Q20,Q38,K20,K38,E20,E38)</f>
        <v>261</v>
      </c>
      <c r="AA4" s="1">
        <f>Z4-Y4</f>
        <v>188</v>
      </c>
    </row>
    <row r="5" spans="1:28" x14ac:dyDescent="0.2">
      <c r="A5" s="2" t="s">
        <v>12</v>
      </c>
      <c r="B5" s="2" t="s">
        <v>4</v>
      </c>
      <c r="C5" s="1" t="s">
        <v>5</v>
      </c>
      <c r="D5" s="1">
        <v>3</v>
      </c>
      <c r="E5" s="1">
        <v>3</v>
      </c>
      <c r="F5" s="1">
        <f>D5*2</f>
        <v>6</v>
      </c>
      <c r="G5" s="2" t="s">
        <v>12</v>
      </c>
      <c r="H5" s="2" t="s">
        <v>4</v>
      </c>
      <c r="I5" s="1" t="s">
        <v>5</v>
      </c>
      <c r="J5" s="1">
        <v>3</v>
      </c>
      <c r="K5" s="1">
        <v>3</v>
      </c>
      <c r="M5" s="2" t="s">
        <v>12</v>
      </c>
      <c r="N5" s="2" t="s">
        <v>4</v>
      </c>
      <c r="O5" s="1" t="s">
        <v>5</v>
      </c>
      <c r="Q5" s="1">
        <v>3</v>
      </c>
      <c r="S5" s="2" t="s">
        <v>12</v>
      </c>
      <c r="T5" s="2" t="s">
        <v>4</v>
      </c>
      <c r="U5" s="1" t="s">
        <v>5</v>
      </c>
      <c r="W5" s="1">
        <v>3</v>
      </c>
    </row>
    <row r="6" spans="1:28" x14ac:dyDescent="0.2">
      <c r="A6" s="2"/>
      <c r="B6" s="2"/>
      <c r="C6" s="1" t="s">
        <v>6</v>
      </c>
      <c r="D6" s="1">
        <v>3</v>
      </c>
      <c r="E6" s="1">
        <v>3</v>
      </c>
      <c r="F6" s="1">
        <v>3</v>
      </c>
      <c r="G6" s="2"/>
      <c r="H6" s="2"/>
      <c r="I6" s="1" t="s">
        <v>6</v>
      </c>
      <c r="J6" s="1">
        <v>3</v>
      </c>
      <c r="K6" s="1">
        <v>3</v>
      </c>
      <c r="M6" s="2"/>
      <c r="N6" s="2"/>
      <c r="O6" s="1" t="s">
        <v>6</v>
      </c>
      <c r="Q6" s="1">
        <v>3</v>
      </c>
      <c r="S6" s="2"/>
      <c r="T6" s="2"/>
      <c r="U6" s="1" t="s">
        <v>6</v>
      </c>
      <c r="W6" s="1">
        <v>3</v>
      </c>
      <c r="Y6" s="1" t="s">
        <v>28</v>
      </c>
      <c r="Z6" s="1" t="s">
        <v>27</v>
      </c>
    </row>
    <row r="7" spans="1:28" x14ac:dyDescent="0.2">
      <c r="A7" s="2"/>
      <c r="B7" s="2"/>
      <c r="C7" s="1" t="s">
        <v>7</v>
      </c>
      <c r="D7" s="1">
        <v>0</v>
      </c>
      <c r="E7" s="1">
        <v>3</v>
      </c>
      <c r="G7" s="2"/>
      <c r="H7" s="2"/>
      <c r="I7" s="1" t="s">
        <v>7</v>
      </c>
      <c r="K7" s="1">
        <v>3</v>
      </c>
      <c r="M7" s="2"/>
      <c r="N7" s="2"/>
      <c r="O7" s="1" t="s">
        <v>7</v>
      </c>
      <c r="Q7" s="1">
        <v>3</v>
      </c>
      <c r="S7" s="2"/>
      <c r="T7" s="2"/>
      <c r="U7" s="1" t="s">
        <v>7</v>
      </c>
      <c r="W7" s="1">
        <v>3</v>
      </c>
      <c r="Y7" s="1" t="s">
        <v>26</v>
      </c>
      <c r="Z7" s="1" t="s">
        <v>26</v>
      </c>
    </row>
    <row r="8" spans="1:28" x14ac:dyDescent="0.2">
      <c r="A8" s="2"/>
      <c r="B8" s="2" t="s">
        <v>8</v>
      </c>
      <c r="C8" s="1" t="s">
        <v>5</v>
      </c>
      <c r="D8" s="1">
        <v>3</v>
      </c>
      <c r="E8" s="1">
        <v>3</v>
      </c>
      <c r="F8" s="1">
        <v>6</v>
      </c>
      <c r="G8" s="2"/>
      <c r="H8" s="2" t="s">
        <v>8</v>
      </c>
      <c r="I8" s="1" t="s">
        <v>5</v>
      </c>
      <c r="J8" s="1">
        <v>3</v>
      </c>
      <c r="K8" s="1">
        <v>3</v>
      </c>
      <c r="M8" s="2"/>
      <c r="N8" s="2" t="s">
        <v>8</v>
      </c>
      <c r="O8" s="1" t="s">
        <v>5</v>
      </c>
      <c r="Q8" s="1">
        <v>3</v>
      </c>
      <c r="S8" s="2"/>
      <c r="T8" s="2" t="s">
        <v>8</v>
      </c>
      <c r="U8" s="1" t="s">
        <v>5</v>
      </c>
      <c r="W8" s="1">
        <v>3</v>
      </c>
      <c r="Y8" s="1">
        <f>1*Y4</f>
        <v>73</v>
      </c>
      <c r="Z8" s="1">
        <f>AA4*0.1</f>
        <v>18.8</v>
      </c>
      <c r="AA8" s="1">
        <f>SUM(Y8:Z8)</f>
        <v>91.8</v>
      </c>
      <c r="AB8" s="1">
        <f>AA8*2</f>
        <v>183.6</v>
      </c>
    </row>
    <row r="9" spans="1:28" x14ac:dyDescent="0.2">
      <c r="A9" s="2"/>
      <c r="B9" s="2"/>
      <c r="C9" s="1" t="s">
        <v>6</v>
      </c>
      <c r="D9" s="1">
        <v>3</v>
      </c>
      <c r="E9" s="1">
        <v>3</v>
      </c>
      <c r="F9" s="1">
        <v>3</v>
      </c>
      <c r="G9" s="2"/>
      <c r="H9" s="2"/>
      <c r="I9" s="1" t="s">
        <v>6</v>
      </c>
      <c r="J9" s="1">
        <v>3</v>
      </c>
      <c r="K9" s="1">
        <v>3</v>
      </c>
      <c r="M9" s="2"/>
      <c r="N9" s="2"/>
      <c r="O9" s="1" t="s">
        <v>6</v>
      </c>
      <c r="Q9" s="1">
        <v>3</v>
      </c>
      <c r="S9" s="2"/>
      <c r="T9" s="2"/>
      <c r="U9" s="1" t="s">
        <v>6</v>
      </c>
      <c r="W9" s="1">
        <v>3</v>
      </c>
    </row>
    <row r="10" spans="1:28" x14ac:dyDescent="0.2">
      <c r="A10" s="2"/>
      <c r="B10" s="2"/>
      <c r="C10" s="1" t="s">
        <v>7</v>
      </c>
      <c r="D10" s="1">
        <v>0</v>
      </c>
      <c r="E10" s="1">
        <v>3</v>
      </c>
      <c r="G10" s="2"/>
      <c r="H10" s="2"/>
      <c r="I10" s="1" t="s">
        <v>7</v>
      </c>
      <c r="K10" s="1">
        <v>3</v>
      </c>
      <c r="M10" s="2"/>
      <c r="N10" s="2"/>
      <c r="O10" s="1" t="s">
        <v>7</v>
      </c>
      <c r="Q10" s="1">
        <v>3</v>
      </c>
      <c r="S10" s="2"/>
      <c r="T10" s="2"/>
      <c r="U10" s="1" t="s">
        <v>7</v>
      </c>
      <c r="W10" s="1">
        <v>3</v>
      </c>
    </row>
    <row r="11" spans="1:28" x14ac:dyDescent="0.2">
      <c r="A11" s="2" t="s">
        <v>13</v>
      </c>
      <c r="B11" s="2" t="s">
        <v>9</v>
      </c>
      <c r="C11" s="1" t="s">
        <v>5</v>
      </c>
      <c r="D11" s="1">
        <v>3</v>
      </c>
      <c r="E11" s="1">
        <v>3</v>
      </c>
      <c r="F11" s="1">
        <v>6</v>
      </c>
      <c r="G11" s="2" t="s">
        <v>13</v>
      </c>
      <c r="H11" s="2" t="s">
        <v>9</v>
      </c>
      <c r="I11" s="1" t="s">
        <v>5</v>
      </c>
      <c r="J11" s="1">
        <v>3</v>
      </c>
      <c r="K11" s="1">
        <v>3</v>
      </c>
      <c r="M11" s="2" t="s">
        <v>13</v>
      </c>
      <c r="N11" s="2" t="s">
        <v>9</v>
      </c>
      <c r="O11" s="1" t="s">
        <v>5</v>
      </c>
      <c r="Q11" s="1">
        <v>3</v>
      </c>
      <c r="S11" s="2" t="s">
        <v>13</v>
      </c>
      <c r="T11" s="2" t="s">
        <v>9</v>
      </c>
      <c r="U11" s="1" t="s">
        <v>5</v>
      </c>
      <c r="W11" s="1">
        <v>3</v>
      </c>
    </row>
    <row r="12" spans="1:28" x14ac:dyDescent="0.2">
      <c r="A12" s="2"/>
      <c r="B12" s="2"/>
      <c r="C12" s="1" t="s">
        <v>6</v>
      </c>
      <c r="D12" s="1">
        <v>3</v>
      </c>
      <c r="E12" s="1">
        <v>3</v>
      </c>
      <c r="F12" s="1">
        <v>3</v>
      </c>
      <c r="G12" s="2"/>
      <c r="H12" s="2"/>
      <c r="I12" s="1" t="s">
        <v>6</v>
      </c>
      <c r="J12" s="1">
        <v>3</v>
      </c>
      <c r="K12" s="1">
        <v>3</v>
      </c>
      <c r="M12" s="2"/>
      <c r="N12" s="2"/>
      <c r="O12" s="1" t="s">
        <v>6</v>
      </c>
      <c r="Q12" s="1">
        <v>3</v>
      </c>
      <c r="S12" s="2"/>
      <c r="T12" s="2"/>
      <c r="U12" s="1" t="s">
        <v>6</v>
      </c>
      <c r="W12" s="1">
        <v>3</v>
      </c>
    </row>
    <row r="13" spans="1:28" x14ac:dyDescent="0.2">
      <c r="A13" s="2"/>
      <c r="B13" s="2"/>
      <c r="C13" s="1" t="s">
        <v>7</v>
      </c>
      <c r="D13" s="1">
        <v>0</v>
      </c>
      <c r="E13" s="1">
        <v>0</v>
      </c>
      <c r="G13" s="2"/>
      <c r="H13" s="2"/>
      <c r="I13" s="1" t="s">
        <v>7</v>
      </c>
      <c r="K13" s="1">
        <v>0</v>
      </c>
      <c r="M13" s="2"/>
      <c r="N13" s="2"/>
      <c r="O13" s="1" t="s">
        <v>7</v>
      </c>
      <c r="Q13" s="1">
        <v>0</v>
      </c>
      <c r="S13" s="2"/>
      <c r="T13" s="2"/>
      <c r="U13" s="1" t="s">
        <v>7</v>
      </c>
      <c r="W13" s="1">
        <v>3</v>
      </c>
    </row>
    <row r="14" spans="1:28" x14ac:dyDescent="0.2">
      <c r="A14" s="2"/>
      <c r="B14" s="2" t="s">
        <v>10</v>
      </c>
      <c r="C14" s="1" t="s">
        <v>5</v>
      </c>
      <c r="D14" s="1">
        <v>3</v>
      </c>
      <c r="E14" s="1">
        <v>3</v>
      </c>
      <c r="F14" s="1">
        <v>6</v>
      </c>
      <c r="G14" s="2"/>
      <c r="H14" s="2" t="s">
        <v>10</v>
      </c>
      <c r="I14" s="1" t="s">
        <v>5</v>
      </c>
      <c r="J14" s="1">
        <v>3</v>
      </c>
      <c r="K14" s="1">
        <v>3</v>
      </c>
      <c r="M14" s="2"/>
      <c r="N14" s="2" t="s">
        <v>10</v>
      </c>
      <c r="O14" s="1" t="s">
        <v>5</v>
      </c>
      <c r="Q14" s="1">
        <v>3</v>
      </c>
      <c r="S14" s="2"/>
      <c r="T14" s="2" t="s">
        <v>10</v>
      </c>
      <c r="U14" s="1" t="s">
        <v>5</v>
      </c>
      <c r="W14" s="1">
        <v>3</v>
      </c>
    </row>
    <row r="15" spans="1:28" x14ac:dyDescent="0.2">
      <c r="A15" s="2"/>
      <c r="B15" s="2"/>
      <c r="C15" s="1" t="s">
        <v>6</v>
      </c>
      <c r="D15" s="1">
        <v>3</v>
      </c>
      <c r="E15" s="1">
        <v>3</v>
      </c>
      <c r="F15" s="1">
        <v>3</v>
      </c>
      <c r="G15" s="2"/>
      <c r="H15" s="2"/>
      <c r="I15" s="1" t="s">
        <v>6</v>
      </c>
      <c r="J15" s="1">
        <v>3</v>
      </c>
      <c r="K15" s="1">
        <v>3</v>
      </c>
      <c r="M15" s="2"/>
      <c r="N15" s="2"/>
      <c r="O15" s="1" t="s">
        <v>6</v>
      </c>
      <c r="Q15" s="1">
        <v>3</v>
      </c>
      <c r="S15" s="2"/>
      <c r="T15" s="2"/>
      <c r="U15" s="1" t="s">
        <v>6</v>
      </c>
      <c r="W15" s="1">
        <v>3</v>
      </c>
    </row>
    <row r="16" spans="1:28" x14ac:dyDescent="0.2">
      <c r="A16" s="2"/>
      <c r="B16" s="2"/>
      <c r="C16" s="1" t="s">
        <v>7</v>
      </c>
      <c r="D16" s="1">
        <v>0</v>
      </c>
      <c r="E16" s="1">
        <v>0</v>
      </c>
      <c r="G16" s="2"/>
      <c r="H16" s="2"/>
      <c r="I16" s="1" t="s">
        <v>7</v>
      </c>
      <c r="K16" s="1">
        <v>0</v>
      </c>
      <c r="M16" s="2"/>
      <c r="N16" s="2"/>
      <c r="O16" s="1" t="s">
        <v>7</v>
      </c>
      <c r="Q16" s="1">
        <v>0</v>
      </c>
      <c r="S16" s="2"/>
      <c r="T16" s="2"/>
      <c r="U16" s="1" t="s">
        <v>7</v>
      </c>
      <c r="W16" s="1">
        <v>3</v>
      </c>
    </row>
    <row r="17" spans="1:23" x14ac:dyDescent="0.2">
      <c r="A17" s="2" t="s">
        <v>14</v>
      </c>
      <c r="B17" s="2" t="s">
        <v>11</v>
      </c>
      <c r="C17" s="1" t="s">
        <v>5</v>
      </c>
      <c r="D17" s="1">
        <v>1</v>
      </c>
      <c r="E17" s="1">
        <v>3</v>
      </c>
      <c r="F17" s="1">
        <v>2</v>
      </c>
      <c r="G17" s="2" t="s">
        <v>14</v>
      </c>
      <c r="H17" s="2" t="s">
        <v>11</v>
      </c>
      <c r="I17" s="1" t="s">
        <v>5</v>
      </c>
      <c r="K17" s="1">
        <v>3</v>
      </c>
      <c r="M17" s="2" t="s">
        <v>14</v>
      </c>
      <c r="N17" s="2" t="s">
        <v>11</v>
      </c>
      <c r="O17" s="1" t="s">
        <v>5</v>
      </c>
      <c r="Q17" s="1">
        <v>3</v>
      </c>
      <c r="S17" s="2" t="s">
        <v>14</v>
      </c>
      <c r="T17" s="2" t="s">
        <v>11</v>
      </c>
      <c r="U17" s="1" t="s">
        <v>5</v>
      </c>
      <c r="W17" s="1">
        <v>3</v>
      </c>
    </row>
    <row r="18" spans="1:23" x14ac:dyDescent="0.2">
      <c r="A18" s="2"/>
      <c r="B18" s="2"/>
      <c r="C18" s="1" t="s">
        <v>6</v>
      </c>
      <c r="D18" s="1">
        <v>0</v>
      </c>
      <c r="E18" s="1">
        <v>3</v>
      </c>
      <c r="G18" s="2"/>
      <c r="H18" s="2"/>
      <c r="I18" s="1" t="s">
        <v>6</v>
      </c>
      <c r="K18" s="1">
        <v>3</v>
      </c>
      <c r="M18" s="2"/>
      <c r="N18" s="2"/>
      <c r="O18" s="1" t="s">
        <v>6</v>
      </c>
      <c r="Q18" s="1">
        <v>3</v>
      </c>
      <c r="S18" s="2"/>
      <c r="T18" s="2"/>
      <c r="U18" s="1" t="s">
        <v>6</v>
      </c>
      <c r="W18" s="1">
        <v>3</v>
      </c>
    </row>
    <row r="19" spans="1:23" x14ac:dyDescent="0.2">
      <c r="A19" s="2"/>
      <c r="B19" s="2"/>
      <c r="C19" s="1" t="s">
        <v>7</v>
      </c>
      <c r="D19" s="1">
        <v>0</v>
      </c>
      <c r="E19" s="1">
        <v>0</v>
      </c>
      <c r="G19" s="2"/>
      <c r="H19" s="2"/>
      <c r="I19" s="1" t="s">
        <v>7</v>
      </c>
      <c r="K19" s="1">
        <v>0</v>
      </c>
      <c r="M19" s="2"/>
      <c r="N19" s="2"/>
      <c r="O19" s="1" t="s">
        <v>7</v>
      </c>
      <c r="Q19" s="1">
        <v>0</v>
      </c>
      <c r="S19" s="2"/>
      <c r="T19" s="2"/>
      <c r="U19" s="1" t="s">
        <v>7</v>
      </c>
      <c r="W19" s="1">
        <v>3</v>
      </c>
    </row>
    <row r="20" spans="1:23" x14ac:dyDescent="0.2">
      <c r="A20" s="4" t="s">
        <v>22</v>
      </c>
      <c r="B20" s="4"/>
      <c r="C20" s="4"/>
      <c r="D20" s="4">
        <f>SUM(D5:D19)</f>
        <v>25</v>
      </c>
      <c r="E20" s="4">
        <f>SUM(E5:E19)</f>
        <v>36</v>
      </c>
      <c r="F20" s="1">
        <f>SUM(F5:F17)</f>
        <v>38</v>
      </c>
      <c r="G20" s="4" t="s">
        <v>22</v>
      </c>
      <c r="H20" s="4"/>
      <c r="I20" s="4"/>
      <c r="J20" s="4">
        <f>SUM(J5:J19)</f>
        <v>24</v>
      </c>
      <c r="K20" s="4">
        <f>SUM(K5:K19)</f>
        <v>36</v>
      </c>
      <c r="M20" s="4" t="s">
        <v>22</v>
      </c>
      <c r="N20" s="4"/>
      <c r="O20" s="4"/>
      <c r="P20" s="4">
        <v>0</v>
      </c>
      <c r="Q20" s="4">
        <f>SUM(Q5:Q19)</f>
        <v>36</v>
      </c>
      <c r="S20" s="4" t="s">
        <v>22</v>
      </c>
      <c r="T20" s="4"/>
      <c r="U20" s="4"/>
      <c r="V20" s="4">
        <v>0</v>
      </c>
      <c r="W20" s="4">
        <f>SUM(W5:W19)</f>
        <v>45</v>
      </c>
    </row>
    <row r="21" spans="1:23" x14ac:dyDescent="0.2">
      <c r="A21" s="5" t="s">
        <v>16</v>
      </c>
      <c r="B21" s="5"/>
      <c r="C21" s="5"/>
      <c r="D21" s="5"/>
      <c r="E21" s="5"/>
      <c r="G21" s="5" t="s">
        <v>18</v>
      </c>
      <c r="H21" s="5"/>
      <c r="I21" s="5"/>
      <c r="J21" s="5"/>
      <c r="K21" s="5"/>
      <c r="M21" s="5" t="s">
        <v>20</v>
      </c>
      <c r="N21" s="5"/>
      <c r="O21" s="5"/>
      <c r="P21" s="5"/>
      <c r="Q21" s="5"/>
      <c r="S21" s="3"/>
      <c r="T21" s="3"/>
      <c r="U21" s="3"/>
      <c r="V21" s="3"/>
      <c r="W21" s="3"/>
    </row>
    <row r="22" spans="1:23" x14ac:dyDescent="0.2">
      <c r="B22" s="1" t="s">
        <v>0</v>
      </c>
      <c r="C22" s="1" t="s">
        <v>1</v>
      </c>
      <c r="D22" s="1" t="s">
        <v>2</v>
      </c>
      <c r="E22" s="1" t="s">
        <v>3</v>
      </c>
      <c r="H22" s="1" t="s">
        <v>0</v>
      </c>
      <c r="I22" s="1" t="s">
        <v>1</v>
      </c>
      <c r="J22" s="1" t="s">
        <v>2</v>
      </c>
      <c r="K22" s="1" t="s">
        <v>3</v>
      </c>
      <c r="N22" s="1" t="s">
        <v>0</v>
      </c>
      <c r="O22" s="1" t="s">
        <v>1</v>
      </c>
      <c r="P22" s="1" t="s">
        <v>2</v>
      </c>
      <c r="Q22" s="1" t="s">
        <v>3</v>
      </c>
    </row>
    <row r="23" spans="1:23" x14ac:dyDescent="0.2">
      <c r="A23" s="2" t="s">
        <v>12</v>
      </c>
      <c r="B23" s="2" t="s">
        <v>4</v>
      </c>
      <c r="C23" s="1" t="s">
        <v>5</v>
      </c>
      <c r="E23" s="1">
        <v>3</v>
      </c>
      <c r="G23" s="2" t="s">
        <v>12</v>
      </c>
      <c r="H23" s="2" t="s">
        <v>4</v>
      </c>
      <c r="I23" s="1" t="s">
        <v>5</v>
      </c>
      <c r="K23" s="1">
        <v>3</v>
      </c>
      <c r="M23" s="2" t="s">
        <v>12</v>
      </c>
      <c r="N23" s="2" t="s">
        <v>4</v>
      </c>
      <c r="O23" s="1" t="s">
        <v>5</v>
      </c>
      <c r="P23" s="1">
        <v>3</v>
      </c>
      <c r="Q23" s="1">
        <v>3</v>
      </c>
      <c r="S23" s="2"/>
      <c r="T23" s="2"/>
    </row>
    <row r="24" spans="1:23" x14ac:dyDescent="0.2">
      <c r="A24" s="2"/>
      <c r="B24" s="2"/>
      <c r="C24" s="1" t="s">
        <v>6</v>
      </c>
      <c r="E24" s="1">
        <v>3</v>
      </c>
      <c r="G24" s="2"/>
      <c r="H24" s="2"/>
      <c r="I24" s="1" t="s">
        <v>6</v>
      </c>
      <c r="K24" s="1">
        <v>3</v>
      </c>
      <c r="M24" s="2"/>
      <c r="N24" s="2"/>
      <c r="O24" s="1" t="s">
        <v>6</v>
      </c>
      <c r="P24" s="1">
        <v>3</v>
      </c>
      <c r="Q24" s="1">
        <v>3</v>
      </c>
      <c r="S24" s="2"/>
      <c r="T24" s="2"/>
    </row>
    <row r="25" spans="1:23" x14ac:dyDescent="0.2">
      <c r="A25" s="2"/>
      <c r="B25" s="2"/>
      <c r="C25" s="1" t="s">
        <v>7</v>
      </c>
      <c r="E25" s="1">
        <v>3</v>
      </c>
      <c r="G25" s="2"/>
      <c r="H25" s="2"/>
      <c r="I25" s="1" t="s">
        <v>7</v>
      </c>
      <c r="K25" s="1">
        <v>3</v>
      </c>
      <c r="M25" s="2"/>
      <c r="N25" s="2"/>
      <c r="O25" s="1" t="s">
        <v>7</v>
      </c>
      <c r="Q25" s="1">
        <v>3</v>
      </c>
      <c r="S25" s="2"/>
      <c r="T25" s="2"/>
    </row>
    <row r="26" spans="1:23" x14ac:dyDescent="0.2">
      <c r="A26" s="2"/>
      <c r="B26" s="2" t="s">
        <v>8</v>
      </c>
      <c r="C26" s="1" t="s">
        <v>5</v>
      </c>
      <c r="E26" s="1">
        <v>3</v>
      </c>
      <c r="G26" s="2"/>
      <c r="H26" s="2" t="s">
        <v>8</v>
      </c>
      <c r="I26" s="1" t="s">
        <v>5</v>
      </c>
      <c r="K26" s="1">
        <v>3</v>
      </c>
      <c r="M26" s="2"/>
      <c r="N26" s="2" t="s">
        <v>8</v>
      </c>
      <c r="O26" s="1" t="s">
        <v>5</v>
      </c>
      <c r="P26" s="1">
        <v>3</v>
      </c>
      <c r="Q26" s="1">
        <v>3</v>
      </c>
      <c r="S26" s="2"/>
      <c r="T26" s="2"/>
    </row>
    <row r="27" spans="1:23" x14ac:dyDescent="0.2">
      <c r="A27" s="2"/>
      <c r="B27" s="2"/>
      <c r="C27" s="1" t="s">
        <v>6</v>
      </c>
      <c r="E27" s="1">
        <v>3</v>
      </c>
      <c r="G27" s="2"/>
      <c r="H27" s="2"/>
      <c r="I27" s="1" t="s">
        <v>6</v>
      </c>
      <c r="K27" s="1">
        <v>3</v>
      </c>
      <c r="M27" s="2"/>
      <c r="N27" s="2"/>
      <c r="O27" s="1" t="s">
        <v>6</v>
      </c>
      <c r="P27" s="1">
        <v>3</v>
      </c>
      <c r="Q27" s="1">
        <v>3</v>
      </c>
      <c r="S27" s="2"/>
      <c r="T27" s="2"/>
    </row>
    <row r="28" spans="1:23" x14ac:dyDescent="0.2">
      <c r="A28" s="2"/>
      <c r="B28" s="2"/>
      <c r="C28" s="1" t="s">
        <v>7</v>
      </c>
      <c r="E28" s="1">
        <v>3</v>
      </c>
      <c r="G28" s="2"/>
      <c r="H28" s="2"/>
      <c r="I28" s="1" t="s">
        <v>7</v>
      </c>
      <c r="K28" s="1">
        <v>3</v>
      </c>
      <c r="M28" s="2"/>
      <c r="N28" s="2"/>
      <c r="O28" s="1" t="s">
        <v>7</v>
      </c>
      <c r="Q28" s="1">
        <v>3</v>
      </c>
      <c r="S28" s="2"/>
      <c r="T28" s="2"/>
    </row>
    <row r="29" spans="1:23" x14ac:dyDescent="0.2">
      <c r="A29" s="2" t="s">
        <v>13</v>
      </c>
      <c r="B29" s="2" t="s">
        <v>9</v>
      </c>
      <c r="C29" s="1" t="s">
        <v>5</v>
      </c>
      <c r="E29" s="1">
        <v>3</v>
      </c>
      <c r="G29" s="2" t="s">
        <v>13</v>
      </c>
      <c r="H29" s="2" t="s">
        <v>9</v>
      </c>
      <c r="I29" s="1" t="s">
        <v>5</v>
      </c>
      <c r="K29" s="1">
        <v>3</v>
      </c>
      <c r="M29" s="2" t="s">
        <v>13</v>
      </c>
      <c r="N29" s="2" t="s">
        <v>9</v>
      </c>
      <c r="O29" s="1" t="s">
        <v>5</v>
      </c>
      <c r="P29" s="1">
        <v>3</v>
      </c>
      <c r="Q29" s="1">
        <v>3</v>
      </c>
      <c r="S29" s="2"/>
      <c r="T29" s="2"/>
    </row>
    <row r="30" spans="1:23" x14ac:dyDescent="0.2">
      <c r="A30" s="2"/>
      <c r="B30" s="2"/>
      <c r="C30" s="1" t="s">
        <v>6</v>
      </c>
      <c r="E30" s="1">
        <v>3</v>
      </c>
      <c r="G30" s="2"/>
      <c r="H30" s="2"/>
      <c r="I30" s="1" t="s">
        <v>6</v>
      </c>
      <c r="K30" s="1">
        <v>3</v>
      </c>
      <c r="M30" s="2"/>
      <c r="N30" s="2"/>
      <c r="O30" s="1" t="s">
        <v>6</v>
      </c>
      <c r="P30" s="1">
        <v>3</v>
      </c>
      <c r="Q30" s="1">
        <v>3</v>
      </c>
      <c r="S30" s="2"/>
      <c r="T30" s="2"/>
    </row>
    <row r="31" spans="1:23" x14ac:dyDescent="0.2">
      <c r="A31" s="2"/>
      <c r="B31" s="2"/>
      <c r="C31" s="1" t="s">
        <v>7</v>
      </c>
      <c r="E31" s="1">
        <v>0</v>
      </c>
      <c r="G31" s="2"/>
      <c r="H31" s="2"/>
      <c r="I31" s="1" t="s">
        <v>7</v>
      </c>
      <c r="K31" s="1">
        <v>0</v>
      </c>
      <c r="M31" s="2"/>
      <c r="N31" s="2"/>
      <c r="O31" s="1" t="s">
        <v>7</v>
      </c>
      <c r="Q31" s="1">
        <v>0</v>
      </c>
      <c r="S31" s="2"/>
      <c r="T31" s="2"/>
    </row>
    <row r="32" spans="1:23" x14ac:dyDescent="0.2">
      <c r="A32" s="2"/>
      <c r="B32" s="2" t="s">
        <v>10</v>
      </c>
      <c r="C32" s="1" t="s">
        <v>5</v>
      </c>
      <c r="E32" s="1">
        <v>3</v>
      </c>
      <c r="G32" s="2"/>
      <c r="H32" s="2" t="s">
        <v>10</v>
      </c>
      <c r="I32" s="1" t="s">
        <v>5</v>
      </c>
      <c r="K32" s="1">
        <v>3</v>
      </c>
      <c r="M32" s="2"/>
      <c r="N32" s="2" t="s">
        <v>10</v>
      </c>
      <c r="O32" s="1" t="s">
        <v>5</v>
      </c>
      <c r="P32" s="1">
        <v>3</v>
      </c>
      <c r="Q32" s="1">
        <v>3</v>
      </c>
      <c r="S32" s="2"/>
      <c r="T32" s="2"/>
    </row>
    <row r="33" spans="1:20" x14ac:dyDescent="0.2">
      <c r="A33" s="2"/>
      <c r="B33" s="2"/>
      <c r="C33" s="1" t="s">
        <v>6</v>
      </c>
      <c r="E33" s="1">
        <v>3</v>
      </c>
      <c r="G33" s="2"/>
      <c r="H33" s="2"/>
      <c r="I33" s="1" t="s">
        <v>6</v>
      </c>
      <c r="K33" s="1">
        <v>3</v>
      </c>
      <c r="M33" s="2"/>
      <c r="N33" s="2"/>
      <c r="O33" s="1" t="s">
        <v>6</v>
      </c>
      <c r="P33" s="1">
        <v>3</v>
      </c>
      <c r="Q33" s="1">
        <v>3</v>
      </c>
      <c r="S33" s="2"/>
      <c r="T33" s="2"/>
    </row>
    <row r="34" spans="1:20" x14ac:dyDescent="0.2">
      <c r="A34" s="2"/>
      <c r="B34" s="2"/>
      <c r="C34" s="1" t="s">
        <v>7</v>
      </c>
      <c r="E34" s="1">
        <v>0</v>
      </c>
      <c r="G34" s="2"/>
      <c r="H34" s="2"/>
      <c r="I34" s="1" t="s">
        <v>7</v>
      </c>
      <c r="K34" s="1">
        <v>0</v>
      </c>
      <c r="M34" s="2"/>
      <c r="N34" s="2"/>
      <c r="O34" s="1" t="s">
        <v>7</v>
      </c>
      <c r="Q34" s="1">
        <v>0</v>
      </c>
      <c r="S34" s="2"/>
      <c r="T34" s="2"/>
    </row>
    <row r="35" spans="1:20" x14ac:dyDescent="0.2">
      <c r="A35" s="2" t="s">
        <v>14</v>
      </c>
      <c r="B35" s="2" t="s">
        <v>11</v>
      </c>
      <c r="C35" s="1" t="s">
        <v>5</v>
      </c>
      <c r="E35" s="1">
        <v>3</v>
      </c>
      <c r="G35" s="2" t="s">
        <v>14</v>
      </c>
      <c r="H35" s="2" t="s">
        <v>11</v>
      </c>
      <c r="I35" s="1" t="s">
        <v>5</v>
      </c>
      <c r="K35" s="1">
        <v>3</v>
      </c>
      <c r="M35" s="2" t="s">
        <v>14</v>
      </c>
      <c r="N35" s="2" t="s">
        <v>11</v>
      </c>
      <c r="O35" s="1" t="s">
        <v>5</v>
      </c>
      <c r="Q35" s="1">
        <v>3</v>
      </c>
      <c r="S35" s="2"/>
      <c r="T35" s="2"/>
    </row>
    <row r="36" spans="1:20" x14ac:dyDescent="0.2">
      <c r="A36" s="2"/>
      <c r="B36" s="2"/>
      <c r="C36" s="1" t="s">
        <v>6</v>
      </c>
      <c r="E36" s="1">
        <v>3</v>
      </c>
      <c r="G36" s="2"/>
      <c r="H36" s="2"/>
      <c r="I36" s="1" t="s">
        <v>6</v>
      </c>
      <c r="K36" s="1">
        <v>3</v>
      </c>
      <c r="M36" s="2"/>
      <c r="N36" s="2"/>
      <c r="O36" s="1" t="s">
        <v>6</v>
      </c>
      <c r="Q36" s="1">
        <v>3</v>
      </c>
      <c r="S36" s="2"/>
      <c r="T36" s="2"/>
    </row>
    <row r="37" spans="1:20" x14ac:dyDescent="0.2">
      <c r="A37" s="2"/>
      <c r="B37" s="2"/>
      <c r="C37" s="1" t="s">
        <v>7</v>
      </c>
      <c r="E37" s="1">
        <v>0</v>
      </c>
      <c r="G37" s="2"/>
      <c r="H37" s="2"/>
      <c r="I37" s="1" t="s">
        <v>7</v>
      </c>
      <c r="K37" s="1">
        <v>0</v>
      </c>
      <c r="M37" s="2"/>
      <c r="N37" s="2"/>
      <c r="O37" s="1" t="s">
        <v>7</v>
      </c>
      <c r="Q37" s="1">
        <v>0</v>
      </c>
      <c r="S37" s="2"/>
      <c r="T37" s="2"/>
    </row>
    <row r="38" spans="1:20" x14ac:dyDescent="0.2">
      <c r="A38" s="4" t="s">
        <v>22</v>
      </c>
      <c r="B38" s="4"/>
      <c r="C38" s="4"/>
      <c r="D38" s="4">
        <v>0</v>
      </c>
      <c r="E38" s="4">
        <f>SUM(E23:E37)</f>
        <v>36</v>
      </c>
      <c r="G38" s="4" t="s">
        <v>22</v>
      </c>
      <c r="H38" s="4"/>
      <c r="I38" s="4"/>
      <c r="J38" s="4">
        <v>0</v>
      </c>
      <c r="K38" s="4">
        <f>SUM(K23:K37)</f>
        <v>36</v>
      </c>
      <c r="M38" s="4" t="s">
        <v>22</v>
      </c>
      <c r="N38" s="4"/>
      <c r="O38" s="4"/>
      <c r="P38" s="4">
        <f>SUM(P23:P37)</f>
        <v>24</v>
      </c>
      <c r="Q38" s="4">
        <f>SUM(Q23:Q37)</f>
        <v>36</v>
      </c>
    </row>
  </sheetData>
  <mergeCells count="72">
    <mergeCell ref="T8:T10"/>
    <mergeCell ref="T5:T7"/>
    <mergeCell ref="S5:S10"/>
    <mergeCell ref="S3:W3"/>
    <mergeCell ref="S35:S37"/>
    <mergeCell ref="T35:T37"/>
    <mergeCell ref="S17:S19"/>
    <mergeCell ref="T14:T16"/>
    <mergeCell ref="T11:T13"/>
    <mergeCell ref="S11:S16"/>
    <mergeCell ref="T17:T19"/>
    <mergeCell ref="S21:W21"/>
    <mergeCell ref="S23:S28"/>
    <mergeCell ref="T23:T25"/>
    <mergeCell ref="T26:T28"/>
    <mergeCell ref="S29:S34"/>
    <mergeCell ref="T29:T31"/>
    <mergeCell ref="T32:T34"/>
    <mergeCell ref="M35:M37"/>
    <mergeCell ref="N35:N37"/>
    <mergeCell ref="M21:Q21"/>
    <mergeCell ref="M23:M28"/>
    <mergeCell ref="N23:N25"/>
    <mergeCell ref="N26:N28"/>
    <mergeCell ref="M29:M34"/>
    <mergeCell ref="N29:N31"/>
    <mergeCell ref="N32:N34"/>
    <mergeCell ref="H35:H37"/>
    <mergeCell ref="M3:Q3"/>
    <mergeCell ref="M5:M10"/>
    <mergeCell ref="N5:N7"/>
    <mergeCell ref="N8:N10"/>
    <mergeCell ref="M11:M16"/>
    <mergeCell ref="N11:N13"/>
    <mergeCell ref="N14:N16"/>
    <mergeCell ref="M17:M19"/>
    <mergeCell ref="N17:N19"/>
    <mergeCell ref="G17:G19"/>
    <mergeCell ref="H17:H19"/>
    <mergeCell ref="G21:K21"/>
    <mergeCell ref="G23:G28"/>
    <mergeCell ref="H23:H25"/>
    <mergeCell ref="H26:H28"/>
    <mergeCell ref="G5:G10"/>
    <mergeCell ref="H5:H7"/>
    <mergeCell ref="H8:H10"/>
    <mergeCell ref="G11:G16"/>
    <mergeCell ref="H11:H13"/>
    <mergeCell ref="H14:H16"/>
    <mergeCell ref="A29:A34"/>
    <mergeCell ref="B29:B31"/>
    <mergeCell ref="B32:B34"/>
    <mergeCell ref="A35:A37"/>
    <mergeCell ref="B35:B37"/>
    <mergeCell ref="G3:K3"/>
    <mergeCell ref="G29:G34"/>
    <mergeCell ref="H29:H31"/>
    <mergeCell ref="H32:H34"/>
    <mergeCell ref="G35:G37"/>
    <mergeCell ref="A3:E3"/>
    <mergeCell ref="A21:E21"/>
    <mergeCell ref="A23:A28"/>
    <mergeCell ref="B23:B25"/>
    <mergeCell ref="B26:B28"/>
    <mergeCell ref="B5:B7"/>
    <mergeCell ref="B8:B10"/>
    <mergeCell ref="B11:B13"/>
    <mergeCell ref="B14:B16"/>
    <mergeCell ref="B17:B19"/>
    <mergeCell ref="A5:A10"/>
    <mergeCell ref="A11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Ethan Schreier</dc:creator>
  <cp:lastModifiedBy>Jeremy Ethan Schreier</cp:lastModifiedBy>
  <dcterms:created xsi:type="dcterms:W3CDTF">2026-04-21T17:34:14Z</dcterms:created>
  <dcterms:modified xsi:type="dcterms:W3CDTF">2026-04-24T21:49:10Z</dcterms:modified>
</cp:coreProperties>
</file>